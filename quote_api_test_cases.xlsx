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Cases'!$A$1:$J$31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<sst xmlns="http://schemas.openxmlformats.org/spreadsheetml/2006/main" count="240" uniqueCount="117">
  <si>
    <t xml:space="preserve">ID</t>
  </si>
  <si>
    <t xml:space="preserve">Section</t>
  </si>
  <si>
    <t xml:space="preserve">Test Case</t>
  </si>
  <si>
    <t xml:space="preserve">Expected Result</t>
  </si>
  <si>
    <t xml:space="preserve">Source</t>
  </si>
  <si>
    <t xml:space="preserve">Priority</t>
  </si>
  <si>
    <t xml:space="preserve">Status</t>
  </si>
  <si>
    <t xml:space="preserve">Actual Result</t>
  </si>
  <si>
    <t xml:space="preserve">Defect Link</t>
  </si>
  <si>
    <t xml:space="preserve">Notes</t>
  </si>
  <si>
    <t xml:space="preserve">TC-01</t>
  </si>
  <si>
    <t xml:space="preserve">1. Basic response</t>
  </si>
  <si>
    <t xml:space="preserve">Submit a valid quote request</t>
  </si>
  <si>
    <t xml:space="preserve">HTTP 200</t>
  </si>
  <si>
    <t xml:space="preserve">Existing script</t>
  </si>
  <si>
    <t xml:space="preserve">High</t>
  </si>
  <si>
    <t xml:space="preserve">Not Run</t>
  </si>
  <si>
    <t xml:space="preserve">TC-02</t>
  </si>
  <si>
    <t xml:space="preserve">Check msgStatus</t>
  </si>
  <si>
    <t xml:space="preserve">Equals 'quoted'</t>
  </si>
  <si>
    <t xml:space="preserve">TC-03</t>
  </si>
  <si>
    <t xml:space="preserve">Check errorresponse</t>
  </si>
  <si>
    <t xml:space="preserve">Empty object {}</t>
  </si>
  <si>
    <t xml:space="preserve">TC-04</t>
  </si>
  <si>
    <t xml:space="preserve">2. Schema and structure</t>
  </si>
  <si>
    <t xml:space="preserve">Validate the response against the quote response schema</t>
  </si>
  <si>
    <t xml:space="preserve">Passes with no schema errors</t>
  </si>
  <si>
    <t xml:space="preserve">TC-05</t>
  </si>
  <si>
    <t xml:space="preserve">Inspect the payment array</t>
  </si>
  <si>
    <t xml:space="preserve">Non-empty. Each plan has paymentPlanCd (string), planPremium (string), additionalQuotedScenario (array)</t>
  </si>
  <si>
    <t xml:space="preserve">TC-06</t>
  </si>
  <si>
    <t xml:space="preserve">Inspect the options array</t>
  </si>
  <si>
    <t xml:space="preserve">Non-empty. Each option has numeric totalPremium, installment, fee, downPayment, plus a non-empty installmentData array</t>
  </si>
  <si>
    <t xml:space="preserve">TC-07</t>
  </si>
  <si>
    <t xml:space="preserve">Inspect quoteInfo</t>
  </si>
  <si>
    <t xml:space="preserve">quoteID is a UUID (36 chars). summaryURL and bridgeURL both contain the quoteID</t>
  </si>
  <si>
    <t xml:space="preserve">Medium</t>
  </si>
  <si>
    <t xml:space="preserve">TC-08</t>
  </si>
  <si>
    <t xml:space="preserve">3. Financial integrity</t>
  </si>
  <si>
    <t xml:space="preserve">For every option, sum installmentData[].amount and compare to totalPremium</t>
  </si>
  <si>
    <t xml:space="preserve">Difference within +/-$1.00 for ALL plans (all mismatches reported together)</t>
  </si>
  <si>
    <t xml:space="preserve">TC-09</t>
  </si>
  <si>
    <t xml:space="preserve">Compare Direct Bill vs EFT/RCC options with the same plan name</t>
  </si>
  <si>
    <t xml:space="preserve">Installment count is identical</t>
  </si>
  <si>
    <t xml:space="preserve">TC-10</t>
  </si>
  <si>
    <t xml:space="preserve">Check each EFT/RCC installment against Direct Bill</t>
  </si>
  <si>
    <t xml:space="preserve">Reconciles to the option's own totalPremium (currently fails, see TC-20)</t>
  </si>
  <si>
    <t xml:space="preserve">TC-11</t>
  </si>
  <si>
    <t xml:space="preserve">4. Request-response consistency</t>
  </si>
  <si>
    <t xml:space="preserve">Compare vehicles[0].vin to the request VIN</t>
  </si>
  <si>
    <t xml:space="preserve">Exact match</t>
  </si>
  <si>
    <t xml:space="preserve">TC-12</t>
  </si>
  <si>
    <t xml:space="preserve">Compare driver licenseNumber and licenseState</t>
  </si>
  <si>
    <t xml:space="preserve">TC-13</t>
  </si>
  <si>
    <t xml:space="preserve">Compare insured firstName, lastName and emailAddress1</t>
  </si>
  <si>
    <t xml:space="preserve">TC-14</t>
  </si>
  <si>
    <t xml:space="preserve">Compare effectiveDt to the requested date (date only)</t>
  </si>
  <si>
    <t xml:space="preserve">Day delta is 0 or -1</t>
  </si>
  <si>
    <t xml:space="preserve">TC-15</t>
  </si>
  <si>
    <t xml:space="preserve">Compare expirationDt to the requested date (date only)</t>
  </si>
  <si>
    <t xml:space="preserve">TC-16</t>
  </si>
  <si>
    <t xml:space="preserve">Compare producerCode.id</t>
  </si>
  <si>
    <t xml:space="preserve">TC-17</t>
  </si>
  <si>
    <t xml:space="preserve">Compare vehicle make/model to the request</t>
  </si>
  <si>
    <t xml:space="preserve">May differ (normalization, e.g. TOYOTA -&gt; TYTA). Logged as informational, never fails</t>
  </si>
  <si>
    <t xml:space="preserve">Low</t>
  </si>
  <si>
    <t xml:space="preserve">TC-18</t>
  </si>
  <si>
    <t xml:space="preserve">5. Known issues</t>
  </si>
  <si>
    <t xml:space="preserve">validUntil type</t>
  </si>
  <si>
    <t xml:space="preserve">Currently returns the string "null", not JSON null. Flip to assert null once fixed</t>
  </si>
  <si>
    <t xml:space="preserve">TC-19</t>
  </si>
  <si>
    <t xml:space="preserve">planPremium format</t>
  </si>
  <si>
    <t xml:space="preserve">Currently a string like "844.00 usd". Flip to numeric assertion plus separate currency field once fixed</t>
  </si>
  <si>
    <t xml:space="preserve">TC-20</t>
  </si>
  <si>
    <t xml:space="preserve">EFT/RCC installment calculation</t>
  </si>
  <si>
    <t xml:space="preserve">Currently installments equal Direct's minus the fee difference ('1-Month Down' first installment is fee-exempt). Delete test once fixed; TC-08/TC-10 then cover correct behavior</t>
  </si>
  <si>
    <t xml:space="preserve">TC-21</t>
  </si>
  <si>
    <t xml:space="preserve">6. Suggested additions</t>
  </si>
  <si>
    <t xml:space="preserve">Missing required field (e.g., no VIN)</t>
  </si>
  <si>
    <t xml:space="preserve">4xx status and a populated errorresponse</t>
  </si>
  <si>
    <t xml:space="preserve">Suggested</t>
  </si>
  <si>
    <t xml:space="preserve">TC-22</t>
  </si>
  <si>
    <t xml:space="preserve">Invalid VIN format or invalid license state</t>
  </si>
  <si>
    <t xml:space="preserve">Validation error, no quote produced</t>
  </si>
  <si>
    <t xml:space="preserve">TC-23</t>
  </si>
  <si>
    <t xml:space="preserve">Expiration date before effective date</t>
  </si>
  <si>
    <t xml:space="preserve">Rejected with a clear error</t>
  </si>
  <si>
    <t xml:space="preserve">TC-24</t>
  </si>
  <si>
    <t xml:space="preserve">Invalid or unknown producer code</t>
  </si>
  <si>
    <t xml:space="preserve">Rejected, or the quote is not issued</t>
  </si>
  <si>
    <t xml:space="preserve">TC-25</t>
  </si>
  <si>
    <t xml:space="preserve">Missing/invalid auth token</t>
  </si>
  <si>
    <t xml:space="preserve">401/403</t>
  </si>
  <si>
    <t xml:space="preserve">TC-26</t>
  </si>
  <si>
    <t xml:space="preserve">Multiple vehicles or drivers in one request</t>
  </si>
  <si>
    <t xml:space="preserve">vehicles[] and drivers[] counts match the request, each item verified, not just index 0</t>
  </si>
  <si>
    <t xml:space="preserve">TC-27</t>
  </si>
  <si>
    <t xml:space="preserve">'Paid in Full' plan</t>
  </si>
  <si>
    <t xml:space="preserve">Single installment equal to totalPremium, no Direct counterpart required</t>
  </si>
  <si>
    <t xml:space="preserve">TC-28</t>
  </si>
  <si>
    <t xml:space="preserve">Schema env var not set</t>
  </si>
  <si>
    <t xml:space="preserve">Schema test is skipped with a warning and the rest of the run continues</t>
  </si>
  <si>
    <t xml:space="preserve">TC-29</t>
  </si>
  <si>
    <t xml:space="preserve">Response time under load or SLA threshold</t>
  </si>
  <si>
    <t xml:space="preserve">Responds within the agreed limit (e.g., 3s)</t>
  </si>
  <si>
    <t xml:space="preserve">TC-30</t>
  </si>
  <si>
    <t xml:space="preserve">Idempotency: same request twice</t>
  </si>
  <si>
    <t xml:space="preserve">Different quoteID, same premium</t>
  </si>
  <si>
    <t xml:space="preserve">Quote API Test Summary</t>
  </si>
  <si>
    <t xml:space="preserve">Count</t>
  </si>
  <si>
    <t xml:space="preserve">Pass</t>
  </si>
  <si>
    <t xml:space="preserve">Fail</t>
  </si>
  <si>
    <t xml:space="preserve">Blocked</t>
  </si>
  <si>
    <t xml:space="preserve">Skipped</t>
  </si>
  <si>
    <t xml:space="preserve">Total</t>
  </si>
  <si>
    <t xml:space="preserve">Pass rate (of executed)</t>
  </si>
  <si>
    <t xml:space="preserve">Note: Priority values are my suggested defaults (assumptions), editable via the dropdown on the Test Cases sheet. Grey rows are suggested additions not yet in your Postman script.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</si>
</sst>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5" min="5" style="0" width="1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0" min="10" style="0" width="30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/>
      <c r="I2" s="2"/>
      <c r="J2" s="2"/>
    </row>
    <row r="3" customFormat="false" ht="15" hidden="false" customHeight="false" outlineLevel="0" collapsed="false">
      <c r="A3" s="2" t="s">
        <v>17</v>
      </c>
      <c r="B3" s="2" t="s">
        <v>11</v>
      </c>
      <c r="C3" s="2" t="s">
        <v>18</v>
      </c>
      <c r="D3" s="2" t="s">
        <v>19</v>
      </c>
      <c r="E3" s="2" t="s">
        <v>14</v>
      </c>
      <c r="F3" s="2" t="s">
        <v>15</v>
      </c>
      <c r="G3" s="2" t="s">
        <v>16</v>
      </c>
      <c r="H3" s="2"/>
      <c r="I3" s="2"/>
      <c r="J3" s="2"/>
    </row>
    <row r="4" customFormat="false" ht="15" hidden="false" customHeight="false" outlineLevel="0" collapsed="false">
      <c r="A4" s="2" t="s">
        <v>20</v>
      </c>
      <c r="B4" s="2" t="s">
        <v>11</v>
      </c>
      <c r="C4" s="2" t="s">
        <v>21</v>
      </c>
      <c r="D4" s="2" t="s">
        <v>22</v>
      </c>
      <c r="E4" s="2" t="s">
        <v>14</v>
      </c>
      <c r="F4" s="2" t="s">
        <v>15</v>
      </c>
      <c r="G4" s="2" t="s">
        <v>16</v>
      </c>
      <c r="H4" s="2"/>
      <c r="I4" s="2"/>
      <c r="J4" s="2"/>
    </row>
    <row r="5" customFormat="false" ht="23.85" hidden="false" customHeight="false" outlineLevel="0" collapsed="false">
      <c r="A5" s="2" t="s">
        <v>23</v>
      </c>
      <c r="B5" s="2" t="s">
        <v>24</v>
      </c>
      <c r="C5" s="2" t="s">
        <v>25</v>
      </c>
      <c r="D5" s="2" t="s">
        <v>26</v>
      </c>
      <c r="E5" s="2" t="s">
        <v>14</v>
      </c>
      <c r="F5" s="2" t="s">
        <v>15</v>
      </c>
      <c r="G5" s="2" t="s">
        <v>16</v>
      </c>
      <c r="H5" s="2"/>
      <c r="I5" s="2"/>
      <c r="J5" s="2"/>
    </row>
    <row r="6" customFormat="false" ht="23.85" hidden="false" customHeight="false" outlineLevel="0" collapsed="false">
      <c r="A6" s="2" t="s">
        <v>27</v>
      </c>
      <c r="B6" s="2" t="s">
        <v>24</v>
      </c>
      <c r="C6" s="2" t="s">
        <v>28</v>
      </c>
      <c r="D6" s="2" t="s">
        <v>29</v>
      </c>
      <c r="E6" s="2" t="s">
        <v>14</v>
      </c>
      <c r="F6" s="2" t="s">
        <v>15</v>
      </c>
      <c r="G6" s="2" t="s">
        <v>16</v>
      </c>
      <c r="H6" s="2"/>
      <c r="I6" s="2"/>
      <c r="J6" s="2"/>
    </row>
    <row r="7" customFormat="false" ht="23.85" hidden="false" customHeight="false" outlineLevel="0" collapsed="false">
      <c r="A7" s="2" t="s">
        <v>30</v>
      </c>
      <c r="B7" s="2" t="s">
        <v>24</v>
      </c>
      <c r="C7" s="2" t="s">
        <v>31</v>
      </c>
      <c r="D7" s="2" t="s">
        <v>32</v>
      </c>
      <c r="E7" s="2" t="s">
        <v>14</v>
      </c>
      <c r="F7" s="2" t="s">
        <v>15</v>
      </c>
      <c r="G7" s="2" t="s">
        <v>16</v>
      </c>
      <c r="H7" s="2"/>
      <c r="I7" s="2"/>
      <c r="J7" s="2"/>
    </row>
    <row r="8" customFormat="false" ht="23.85" hidden="false" customHeight="false" outlineLevel="0" collapsed="false">
      <c r="A8" s="2" t="s">
        <v>33</v>
      </c>
      <c r="B8" s="2" t="s">
        <v>24</v>
      </c>
      <c r="C8" s="2" t="s">
        <v>34</v>
      </c>
      <c r="D8" s="2" t="s">
        <v>35</v>
      </c>
      <c r="E8" s="2" t="s">
        <v>14</v>
      </c>
      <c r="F8" s="2" t="s">
        <v>36</v>
      </c>
      <c r="G8" s="2" t="s">
        <v>16</v>
      </c>
      <c r="H8" s="2"/>
      <c r="I8" s="2"/>
      <c r="J8" s="2"/>
    </row>
    <row r="9" customFormat="false" ht="23.85" hidden="false" customHeight="false" outlineLevel="0" collapsed="false">
      <c r="A9" s="2" t="s">
        <v>37</v>
      </c>
      <c r="B9" s="2" t="s">
        <v>38</v>
      </c>
      <c r="C9" s="2" t="s">
        <v>39</v>
      </c>
      <c r="D9" s="2" t="s">
        <v>40</v>
      </c>
      <c r="E9" s="2" t="s">
        <v>14</v>
      </c>
      <c r="F9" s="2" t="s">
        <v>15</v>
      </c>
      <c r="G9" s="2" t="s">
        <v>16</v>
      </c>
      <c r="H9" s="2"/>
      <c r="I9" s="2"/>
      <c r="J9" s="2"/>
    </row>
    <row r="10" customFormat="false" ht="23.85" hidden="false" customHeight="false" outlineLevel="0" collapsed="false">
      <c r="A10" s="2" t="s">
        <v>41</v>
      </c>
      <c r="B10" s="2" t="s">
        <v>38</v>
      </c>
      <c r="C10" s="2" t="s">
        <v>42</v>
      </c>
      <c r="D10" s="2" t="s">
        <v>43</v>
      </c>
      <c r="E10" s="2" t="s">
        <v>14</v>
      </c>
      <c r="F10" s="2" t="s">
        <v>36</v>
      </c>
      <c r="G10" s="2" t="s">
        <v>16</v>
      </c>
      <c r="H10" s="2"/>
      <c r="I10" s="2"/>
      <c r="J10" s="2"/>
    </row>
    <row r="11" customFormat="false" ht="15" hidden="false" customHeight="false" outlineLevel="0" collapsed="false">
      <c r="A11" s="2" t="s">
        <v>44</v>
      </c>
      <c r="B11" s="2" t="s">
        <v>38</v>
      </c>
      <c r="C11" s="2" t="s">
        <v>45</v>
      </c>
      <c r="D11" s="2" t="s">
        <v>46</v>
      </c>
      <c r="E11" s="2" t="s">
        <v>14</v>
      </c>
      <c r="F11" s="2" t="s">
        <v>15</v>
      </c>
      <c r="G11" s="2" t="s">
        <v>16</v>
      </c>
      <c r="H11" s="2"/>
      <c r="I11" s="2"/>
      <c r="J11" s="2"/>
    </row>
    <row r="12" customFormat="false" ht="23.85" hidden="false" customHeight="false" outlineLevel="0" collapsed="false">
      <c r="A12" s="2" t="s">
        <v>47</v>
      </c>
      <c r="B12" s="2" t="s">
        <v>48</v>
      </c>
      <c r="C12" s="2" t="s">
        <v>49</v>
      </c>
      <c r="D12" s="2" t="s">
        <v>50</v>
      </c>
      <c r="E12" s="2" t="s">
        <v>14</v>
      </c>
      <c r="F12" s="2" t="s">
        <v>15</v>
      </c>
      <c r="G12" s="2" t="s">
        <v>16</v>
      </c>
      <c r="H12" s="2"/>
      <c r="I12" s="2"/>
      <c r="J12" s="2"/>
    </row>
    <row r="13" customFormat="false" ht="23.85" hidden="false" customHeight="false" outlineLevel="0" collapsed="false">
      <c r="A13" s="2" t="s">
        <v>51</v>
      </c>
      <c r="B13" s="2" t="s">
        <v>48</v>
      </c>
      <c r="C13" s="2" t="s">
        <v>52</v>
      </c>
      <c r="D13" s="2" t="s">
        <v>50</v>
      </c>
      <c r="E13" s="2" t="s">
        <v>14</v>
      </c>
      <c r="F13" s="2" t="s">
        <v>15</v>
      </c>
      <c r="G13" s="2" t="s">
        <v>16</v>
      </c>
      <c r="H13" s="2"/>
      <c r="I13" s="2"/>
      <c r="J13" s="2"/>
    </row>
    <row r="14" customFormat="false" ht="23.85" hidden="false" customHeight="false" outlineLevel="0" collapsed="false">
      <c r="A14" s="2" t="s">
        <v>53</v>
      </c>
      <c r="B14" s="2" t="s">
        <v>48</v>
      </c>
      <c r="C14" s="2" t="s">
        <v>54</v>
      </c>
      <c r="D14" s="2" t="s">
        <v>50</v>
      </c>
      <c r="E14" s="2" t="s">
        <v>14</v>
      </c>
      <c r="F14" s="2" t="s">
        <v>15</v>
      </c>
      <c r="G14" s="2" t="s">
        <v>16</v>
      </c>
      <c r="H14" s="2"/>
      <c r="I14" s="2"/>
      <c r="J14" s="2"/>
    </row>
    <row r="15" customFormat="false" ht="23.85" hidden="false" customHeight="false" outlineLevel="0" collapsed="false">
      <c r="A15" s="2" t="s">
        <v>55</v>
      </c>
      <c r="B15" s="2" t="s">
        <v>48</v>
      </c>
      <c r="C15" s="2" t="s">
        <v>56</v>
      </c>
      <c r="D15" s="2" t="s">
        <v>57</v>
      </c>
      <c r="E15" s="2" t="s">
        <v>14</v>
      </c>
      <c r="F15" s="2" t="s">
        <v>36</v>
      </c>
      <c r="G15" s="2" t="s">
        <v>16</v>
      </c>
      <c r="H15" s="2"/>
      <c r="I15" s="2"/>
      <c r="J15" s="2"/>
    </row>
    <row r="16" customFormat="false" ht="23.85" hidden="false" customHeight="false" outlineLevel="0" collapsed="false">
      <c r="A16" s="2" t="s">
        <v>58</v>
      </c>
      <c r="B16" s="2" t="s">
        <v>48</v>
      </c>
      <c r="C16" s="2" t="s">
        <v>59</v>
      </c>
      <c r="D16" s="2" t="s">
        <v>57</v>
      </c>
      <c r="E16" s="2" t="s">
        <v>14</v>
      </c>
      <c r="F16" s="2" t="s">
        <v>36</v>
      </c>
      <c r="G16" s="2" t="s">
        <v>16</v>
      </c>
      <c r="H16" s="2"/>
      <c r="I16" s="2"/>
      <c r="J16" s="2"/>
    </row>
    <row r="17" customFormat="false" ht="23.85" hidden="false" customHeight="false" outlineLevel="0" collapsed="false">
      <c r="A17" s="2" t="s">
        <v>60</v>
      </c>
      <c r="B17" s="2" t="s">
        <v>48</v>
      </c>
      <c r="C17" s="2" t="s">
        <v>61</v>
      </c>
      <c r="D17" s="2" t="s">
        <v>50</v>
      </c>
      <c r="E17" s="2" t="s">
        <v>14</v>
      </c>
      <c r="F17" s="2" t="s">
        <v>36</v>
      </c>
      <c r="G17" s="2" t="s">
        <v>16</v>
      </c>
      <c r="H17" s="2"/>
      <c r="I17" s="2"/>
      <c r="J17" s="2"/>
    </row>
    <row r="18" customFormat="false" ht="23.85" hidden="false" customHeight="false" outlineLevel="0" collapsed="false">
      <c r="A18" s="2" t="s">
        <v>62</v>
      </c>
      <c r="B18" s="2" t="s">
        <v>48</v>
      </c>
      <c r="C18" s="2" t="s">
        <v>63</v>
      </c>
      <c r="D18" s="2" t="s">
        <v>64</v>
      </c>
      <c r="E18" s="2" t="s">
        <v>14</v>
      </c>
      <c r="F18" s="2" t="s">
        <v>65</v>
      </c>
      <c r="G18" s="2" t="s">
        <v>16</v>
      </c>
      <c r="H18" s="2"/>
      <c r="I18" s="2"/>
      <c r="J18" s="2"/>
    </row>
    <row r="19" customFormat="false" ht="23.85" hidden="false" customHeight="false" outlineLevel="0" collapsed="false">
      <c r="A19" s="2" t="s">
        <v>66</v>
      </c>
      <c r="B19" s="2" t="s">
        <v>67</v>
      </c>
      <c r="C19" s="2" t="s">
        <v>68</v>
      </c>
      <c r="D19" s="2" t="s">
        <v>69</v>
      </c>
      <c r="E19" s="2" t="s">
        <v>14</v>
      </c>
      <c r="F19" s="2" t="s">
        <v>36</v>
      </c>
      <c r="G19" s="2" t="s">
        <v>16</v>
      </c>
      <c r="H19" s="2"/>
      <c r="I19" s="2"/>
      <c r="J19" s="2"/>
    </row>
    <row r="20" customFormat="false" ht="23.85" hidden="false" customHeight="false" outlineLevel="0" collapsed="false">
      <c r="A20" s="2" t="s">
        <v>70</v>
      </c>
      <c r="B20" s="2" t="s">
        <v>67</v>
      </c>
      <c r="C20" s="2" t="s">
        <v>71</v>
      </c>
      <c r="D20" s="2" t="s">
        <v>72</v>
      </c>
      <c r="E20" s="2" t="s">
        <v>14</v>
      </c>
      <c r="F20" s="2" t="s">
        <v>36</v>
      </c>
      <c r="G20" s="2" t="s">
        <v>16</v>
      </c>
      <c r="H20" s="2"/>
      <c r="I20" s="2"/>
      <c r="J20" s="2"/>
    </row>
    <row r="21" customFormat="false" ht="35.05" hidden="false" customHeight="false" outlineLevel="0" collapsed="false">
      <c r="A21" s="2" t="s">
        <v>73</v>
      </c>
      <c r="B21" s="2" t="s">
        <v>67</v>
      </c>
      <c r="C21" s="2" t="s">
        <v>74</v>
      </c>
      <c r="D21" s="2" t="s">
        <v>75</v>
      </c>
      <c r="E21" s="2" t="s">
        <v>14</v>
      </c>
      <c r="F21" s="2" t="s">
        <v>15</v>
      </c>
      <c r="G21" s="2" t="s">
        <v>16</v>
      </c>
      <c r="H21" s="2"/>
      <c r="I21" s="2"/>
      <c r="J21" s="2"/>
    </row>
    <row r="22" customFormat="false" ht="15" hidden="false" customHeight="false" outlineLevel="0" collapsed="false">
      <c r="A22" s="3" t="s">
        <v>76</v>
      </c>
      <c r="B22" s="3" t="s">
        <v>77</v>
      </c>
      <c r="C22" s="3" t="s">
        <v>78</v>
      </c>
      <c r="D22" s="3" t="s">
        <v>79</v>
      </c>
      <c r="E22" s="3" t="s">
        <v>80</v>
      </c>
      <c r="F22" s="3" t="s">
        <v>15</v>
      </c>
      <c r="G22" s="3" t="s">
        <v>16</v>
      </c>
      <c r="H22" s="3"/>
      <c r="I22" s="3"/>
      <c r="J22" s="3"/>
    </row>
    <row r="23" customFormat="false" ht="15" hidden="false" customHeight="false" outlineLevel="0" collapsed="false">
      <c r="A23" s="3" t="s">
        <v>81</v>
      </c>
      <c r="B23" s="3" t="s">
        <v>77</v>
      </c>
      <c r="C23" s="3" t="s">
        <v>82</v>
      </c>
      <c r="D23" s="3" t="s">
        <v>83</v>
      </c>
      <c r="E23" s="3" t="s">
        <v>80</v>
      </c>
      <c r="F23" s="3" t="s">
        <v>15</v>
      </c>
      <c r="G23" s="3" t="s">
        <v>16</v>
      </c>
      <c r="H23" s="3"/>
      <c r="I23" s="3"/>
      <c r="J23" s="3"/>
    </row>
    <row r="24" customFormat="false" ht="15" hidden="false" customHeight="false" outlineLevel="0" collapsed="false">
      <c r="A24" s="3" t="s">
        <v>84</v>
      </c>
      <c r="B24" s="3" t="s">
        <v>77</v>
      </c>
      <c r="C24" s="3" t="s">
        <v>85</v>
      </c>
      <c r="D24" s="3" t="s">
        <v>86</v>
      </c>
      <c r="E24" s="3" t="s">
        <v>80</v>
      </c>
      <c r="F24" s="3" t="s">
        <v>36</v>
      </c>
      <c r="G24" s="3" t="s">
        <v>16</v>
      </c>
      <c r="H24" s="3"/>
      <c r="I24" s="3"/>
      <c r="J24" s="3"/>
    </row>
    <row r="25" customFormat="false" ht="15" hidden="false" customHeight="false" outlineLevel="0" collapsed="false">
      <c r="A25" s="3" t="s">
        <v>87</v>
      </c>
      <c r="B25" s="3" t="s">
        <v>77</v>
      </c>
      <c r="C25" s="3" t="s">
        <v>88</v>
      </c>
      <c r="D25" s="3" t="s">
        <v>89</v>
      </c>
      <c r="E25" s="3" t="s">
        <v>80</v>
      </c>
      <c r="F25" s="3" t="s">
        <v>36</v>
      </c>
      <c r="G25" s="3" t="s">
        <v>16</v>
      </c>
      <c r="H25" s="3"/>
      <c r="I25" s="3"/>
      <c r="J25" s="3"/>
    </row>
    <row r="26" customFormat="false" ht="15" hidden="false" customHeight="false" outlineLevel="0" collapsed="false">
      <c r="A26" s="3" t="s">
        <v>90</v>
      </c>
      <c r="B26" s="3" t="s">
        <v>77</v>
      </c>
      <c r="C26" s="3" t="s">
        <v>91</v>
      </c>
      <c r="D26" s="3" t="s">
        <v>92</v>
      </c>
      <c r="E26" s="3" t="s">
        <v>80</v>
      </c>
      <c r="F26" s="3" t="s">
        <v>15</v>
      </c>
      <c r="G26" s="3" t="s">
        <v>16</v>
      </c>
      <c r="H26" s="3"/>
      <c r="I26" s="3"/>
      <c r="J26" s="3"/>
    </row>
    <row r="27" customFormat="false" ht="23.85" hidden="false" customHeight="false" outlineLevel="0" collapsed="false">
      <c r="A27" s="3" t="s">
        <v>93</v>
      </c>
      <c r="B27" s="3" t="s">
        <v>77</v>
      </c>
      <c r="C27" s="3" t="s">
        <v>94</v>
      </c>
      <c r="D27" s="3" t="s">
        <v>95</v>
      </c>
      <c r="E27" s="3" t="s">
        <v>80</v>
      </c>
      <c r="F27" s="3" t="s">
        <v>15</v>
      </c>
      <c r="G27" s="3" t="s">
        <v>16</v>
      </c>
      <c r="H27" s="3"/>
      <c r="I27" s="3"/>
      <c r="J27" s="3"/>
    </row>
    <row r="28" customFormat="false" ht="15" hidden="false" customHeight="false" outlineLevel="0" collapsed="false">
      <c r="A28" s="3" t="s">
        <v>96</v>
      </c>
      <c r="B28" s="3" t="s">
        <v>77</v>
      </c>
      <c r="C28" s="3" t="s">
        <v>97</v>
      </c>
      <c r="D28" s="3" t="s">
        <v>98</v>
      </c>
      <c r="E28" s="3" t="s">
        <v>80</v>
      </c>
      <c r="F28" s="3" t="s">
        <v>36</v>
      </c>
      <c r="G28" s="3" t="s">
        <v>16</v>
      </c>
      <c r="H28" s="3"/>
      <c r="I28" s="3"/>
      <c r="J28" s="3"/>
    </row>
    <row r="29" customFormat="false" ht="15" hidden="false" customHeight="false" outlineLevel="0" collapsed="false">
      <c r="A29" s="3" t="s">
        <v>99</v>
      </c>
      <c r="B29" s="3" t="s">
        <v>77</v>
      </c>
      <c r="C29" s="3" t="s">
        <v>100</v>
      </c>
      <c r="D29" s="3" t="s">
        <v>101</v>
      </c>
      <c r="E29" s="3" t="s">
        <v>80</v>
      </c>
      <c r="F29" s="3" t="s">
        <v>65</v>
      </c>
      <c r="G29" s="3" t="s">
        <v>16</v>
      </c>
      <c r="H29" s="3"/>
      <c r="I29" s="3"/>
      <c r="J29" s="3"/>
    </row>
    <row r="30" customFormat="false" ht="15" hidden="false" customHeight="false" outlineLevel="0" collapsed="false">
      <c r="A30" s="3" t="s">
        <v>102</v>
      </c>
      <c r="B30" s="3" t="s">
        <v>77</v>
      </c>
      <c r="C30" s="3" t="s">
        <v>103</v>
      </c>
      <c r="D30" s="3" t="s">
        <v>104</v>
      </c>
      <c r="E30" s="3" t="s">
        <v>80</v>
      </c>
      <c r="F30" s="3" t="s">
        <v>36</v>
      </c>
      <c r="G30" s="3" t="s">
        <v>16</v>
      </c>
      <c r="H30" s="3"/>
      <c r="I30" s="3"/>
      <c r="J30" s="3"/>
    </row>
    <row r="31" customFormat="false" ht="15" hidden="false" customHeight="false" outlineLevel="0" collapsed="false">
      <c r="A31" s="3" t="s">
        <v>105</v>
      </c>
      <c r="B31" s="3" t="s">
        <v>77</v>
      </c>
      <c r="C31" s="3" t="s">
        <v>106</v>
      </c>
      <c r="D31" s="3" t="s">
        <v>107</v>
      </c>
      <c r="E31" s="3" t="s">
        <v>80</v>
      </c>
      <c r="F31" s="3" t="s">
        <v>36</v>
      </c>
      <c r="G31" s="3" t="s">
        <v>16</v>
      </c>
      <c r="H31" s="3"/>
      <c r="I31" s="3"/>
      <c r="J31" s="3"/>
    </row>
  </sheetData>
  <autoFilter ref="A1:J31"/>
  <conditionalFormatting sqref="G2:G31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"Fail"</formula>
    </cfRule>
    <cfRule type="cellIs" priority="4" operator="equal" aboveAverage="0" equalAverage="0" bottom="0" percent="0" rank="0" text="" dxfId="6">
      <formula>"Blocked"</formula>
    </cfRule>
  </conditionalFormatting>
  <dataValidations count="2">
    <dataValidation allowBlank="false" errorStyle="stop" operator="between" showDropDown="false" showErrorMessage="false" showInputMessage="false" sqref="G2:G31" type="list">
      <formula1>"Not Run,Pass,Fail,Blocked,Skipped"</formula1>
      <formula2>0</formula2>
    </dataValidation>
    <dataValidation allowBlank="false" errorStyle="stop" operator="between" showDropDown="false" showErrorMessage="false" showInputMessage="false" sqref="F2:F31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</cols>
  <sheetData>
    <row r="1" customFormat="false" ht="17.35" hidden="false" customHeight="false" outlineLevel="0" collapsed="false">
      <c r="A1" s="4" t="s">
        <v>108</v>
      </c>
    </row>
    <row r="3" customFormat="false" ht="15" hidden="false" customHeight="false" outlineLevel="0" collapsed="false">
      <c r="A3" s="5" t="s">
        <v>6</v>
      </c>
      <c r="B3" s="5" t="s">
        <v>109</v>
      </c>
    </row>
    <row r="4" customFormat="false" ht="15" hidden="false" customHeight="false" outlineLevel="0" collapsed="false">
      <c r="A4" s="6" t="s">
        <v>16</v>
      </c>
      <c r="B4" s="6" t="n">
        <f aca="false">COUNTIF('Test Cases'!$G$2:$G$31,A4)</f>
        <v>30</v>
      </c>
    </row>
    <row r="5" customFormat="false" ht="15" hidden="false" customHeight="false" outlineLevel="0" collapsed="false">
      <c r="A5" s="6" t="s">
        <v>110</v>
      </c>
      <c r="B5" s="6" t="n">
        <f aca="false">COUNTIF('Test Cases'!$G$2:$G$31,A5)</f>
        <v>0</v>
      </c>
    </row>
    <row r="6" customFormat="false" ht="15" hidden="false" customHeight="false" outlineLevel="0" collapsed="false">
      <c r="A6" s="6" t="s">
        <v>111</v>
      </c>
      <c r="B6" s="6" t="n">
        <f aca="false">COUNTIF('Test Cases'!$G$2:$G$31,A6)</f>
        <v>0</v>
      </c>
    </row>
    <row r="7" customFormat="false" ht="15" hidden="false" customHeight="false" outlineLevel="0" collapsed="false">
      <c r="A7" s="6" t="s">
        <v>112</v>
      </c>
      <c r="B7" s="6" t="n">
        <f aca="false">COUNTIF('Test Cases'!$G$2:$G$31,A7)</f>
        <v>0</v>
      </c>
    </row>
    <row r="8" customFormat="false" ht="15" hidden="false" customHeight="false" outlineLevel="0" collapsed="false">
      <c r="A8" s="6" t="s">
        <v>113</v>
      </c>
      <c r="B8" s="6" t="n">
        <f aca="false">COUNTIF('Test Cases'!$G$2:$G$31,A8)</f>
        <v>0</v>
      </c>
    </row>
    <row r="9" customFormat="false" ht="15" hidden="false" customHeight="false" outlineLevel="0" collapsed="false">
      <c r="A9" s="7" t="s">
        <v>114</v>
      </c>
      <c r="B9" s="7" t="n">
        <f aca="false">SUM(B4:B8)</f>
        <v>30</v>
      </c>
    </row>
    <row r="10" customFormat="false" ht="15" hidden="false" customHeight="false" outlineLevel="0" collapsed="false">
      <c r="A10" s="6" t="s">
        <v>115</v>
      </c>
      <c r="B10" s="8" t="n">
        <f aca="false">IFERROR(B5/(B5+B6),0)</f>
        <v>0</v>
      </c>
    </row>
    <row r="11" customFormat="false" ht="15" hidden="false" customHeight="false" outlineLevel="0" collapsed="false">
      <c r="A11" s="6"/>
      <c r="B11" s="6"/>
    </row>
    <row r="12" customFormat="false" ht="15" hidden="false" customHeight="false" outlineLevel="0" collapsed="false">
      <c r="A12" s="5" t="s">
        <v>5</v>
      </c>
      <c r="B12" s="5" t="s">
        <v>109</v>
      </c>
    </row>
    <row r="13" customFormat="false" ht="15" hidden="false" customHeight="false" outlineLevel="0" collapsed="false">
      <c r="A13" s="6" t="s">
        <v>15</v>
      </c>
      <c r="B13" s="6" t="n">
        <f aca="false">COUNTIF('Test Cases'!$F$2:$F$31,A13)</f>
        <v>16</v>
      </c>
    </row>
    <row r="14" customFormat="false" ht="15" hidden="false" customHeight="false" outlineLevel="0" collapsed="false">
      <c r="A14" s="6" t="s">
        <v>36</v>
      </c>
      <c r="B14" s="6" t="n">
        <f aca="false">COUNTIF('Test Cases'!$F$2:$F$31,A14)</f>
        <v>12</v>
      </c>
    </row>
    <row r="15" customFormat="false" ht="15" hidden="false" customHeight="false" outlineLevel="0" collapsed="false">
      <c r="A15" s="6" t="s">
        <v>65</v>
      </c>
      <c r="B15" s="6" t="n">
        <f aca="false">COUNTIF('Test Cases'!$F$2:$F$31,A15)</f>
        <v>2</v>
      </c>
    </row>
    <row r="16" customFormat="false" ht="15" hidden="false" customHeight="false" outlineLevel="0" collapsed="false">
      <c r="A16" s="6"/>
      <c r="B16" s="6"/>
    </row>
    <row r="17" customFormat="false" ht="15" hidden="false" customHeight="false" outlineLevel="0" collapsed="false">
      <c r="A17" s="5" t="s">
        <v>4</v>
      </c>
      <c r="B17" s="5" t="s">
        <v>109</v>
      </c>
    </row>
    <row r="18" customFormat="false" ht="15" hidden="false" customHeight="false" outlineLevel="0" collapsed="false">
      <c r="A18" s="6" t="s">
        <v>14</v>
      </c>
      <c r="B18" s="6" t="n">
        <f aca="false">COUNTIF('Test Cases'!$E$2:$E$31,A18)</f>
        <v>20</v>
      </c>
    </row>
    <row r="19" customFormat="false" ht="15" hidden="false" customHeight="false" outlineLevel="0" collapsed="false">
      <c r="A19" s="6" t="s">
        <v>80</v>
      </c>
      <c r="B19" s="6" t="n">
        <f aca="false">COUNTIF('Test Cases'!$E$2:$E$31,A19)</f>
        <v>10</v>
      </c>
    </row>
    <row r="20" customFormat="false" ht="15" hidden="false" customHeight="false" outlineLevel="0" collapsed="false">
      <c r="A20" s="6"/>
      <c r="B20" s="6"/>
    </row>
    <row r="21" customFormat="false" ht="15" hidden="false" customHeight="false" outlineLevel="0" collapsed="false">
      <c r="A21" s="9" t="s">
        <v>116</v>
      </c>
      <c r="B2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2026-10-14T07:53:41Z</dcterms:created>
  <dc:creator>openpyxl</dc:creator>
  <dc:description/>
  <dc:language>en-US</dc:language>
  <cp:lastModifiedBy/>
  <dcterms:modified xsi:type="dcterms:W3CDTF">2026-10-14T07:53:41Z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